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70b6035c0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入力と結果" sheetId="1" r:id="Rc7fabdbdb3c74112"/>
    <x:sheet xmlns:r="http://schemas.openxmlformats.org/officeDocument/2006/relationships" name="数字の調べ方" sheetId="2" r:id="R8b0f80c7465a48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&quot;円&quot;;[Red](#,##0&quot;円&quot;);-"/>
    <x:numFmt numFmtId="201" formatCode="0.00"/>
    <x:numFmt numFmtId="202" formatCode="0.0%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17324D"/>
      <x:name val="Carlito"/>
    </x:font>
    <x:font>
      <x:b/>
      <x:sz val="14"/>
      <x:name val="Carlito"/>
    </x:font>
    <x:font>
      <x:b/>
      <x:sz val="11"/>
      <x:color rgb="FF375623"/>
      <x:name val="Carlito"/>
    </x:font>
    <x:font>
      <x:b/>
      <x:sz val="11"/>
      <x:color rgb="FFC659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9C0006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F3F8FC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70AD47"/>
      </x:patternFill>
    </x:fill>
    <x:fill>
      <x:patternFill patternType="solid">
        <x:fgColor rgb="FFFCE4D6"/>
      </x:patternFill>
    </x:fill>
  </x:fills>
  <x:borders count="4">
    <x:border/>
    <x:border>
      <x:left style="thin">
        <x:color rgb="FFD6B656"/>
      </x:left>
      <x:right style="thin">
        <x:color rgb="FFD6B656"/>
      </x:right>
      <x:top style="thin">
        <x:color rgb="FFD6B656"/>
      </x:top>
    </x:border>
    <x:border>
      <x:left style="thin">
        <x:color rgb="FFD6B656"/>
      </x:left>
      <x:right style="thin">
        <x:color rgb="FFD6B656"/>
      </x:right>
    </x:border>
    <x:border>
      <x:left style="thin">
        <x:color rgb="FFD6B656"/>
      </x:left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0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200" fontId="0" fillId="8" borderId="2" xfId="0" applyNumberFormat="1" applyFont="1" applyFill="1" applyBorder="1"/>
    <x:xf numFmtId="200" fontId="0" fillId="8" borderId="3" xfId="0" applyNumberFormat="1" applyFont="1" applyFill="1" applyBorder="1"/>
    <x:xf numFmtId="201" fontId="0" fillId="8" borderId="2" xfId="0" applyNumberFormat="1" applyFont="1" applyFill="1" applyBorder="1"/>
    <x:xf numFmtId="202" fontId="0" fillId="8" borderId="2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10" borderId="0" xfId="0" applyNumberFormat="1" applyFont="1" applyFill="1" applyBorder="1"/>
    <x:xf numFmtId="200" fontId="0" fillId="10" borderId="0" xfId="0" applyNumberFormat="1" applyFont="1" applyFill="1" applyBorder="1"/>
    <x:xf numFmtId="0" fontId="8" fillId="10" borderId="0" xfId="0" applyNumberFormat="1" applyFont="1" applyFill="1" applyBorder="1"/>
    <x:xf numFmtId="200" fontId="8" fillId="10" borderId="0" xfId="0" applyNumberFormat="1" applyFont="1" applyFill="1" applyBorder="1"/>
    <x:xf numFmtId="200" fontId="0" fillId="6" borderId="0" xfId="0" applyNumberFormat="1" applyFont="1" applyFill="1" applyBorder="1"/>
    <x:xf numFmtId="200" fontId="5" fillId="6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/>
    </x:xf>
    <x:xf numFmtId="200" fontId="0" fillId="8" borderId="2" xfId="0" applyNumberFormat="1" applyFont="1" applyFill="1" applyBorder="1" applyAlignment="1">
      <x:alignment vertical="center"/>
    </x:xf>
    <x:xf numFmtId="201" fontId="0" fillId="8" borderId="2" xfId="0" applyNumberFormat="1" applyFont="1" applyFill="1" applyBorder="1" applyAlignment="1">
      <x:alignment vertical="center"/>
    </x:xf>
    <x:xf numFmtId="202" fontId="0" fillId="8" borderId="2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200" fontId="8" fillId="10" borderId="0" xfId="0" applyNumberFormat="1" applyFont="1" applyFill="1" applyBorder="1" applyAlignment="1">
      <x:alignment vertical="center"/>
    </x:xf>
    <x:xf numFmtId="200" fontId="0" fillId="8" borderId="3" xfId="0" applyNumberFormat="1" applyFont="1" applyFill="1" applyBorder="1" applyAlignment="1">
      <x:alignment vertical="center"/>
    </x:xf>
    <x:xf numFmtId="200" fontId="5" fillId="6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200" fontId="0" fillId="8" borderId="2" xfId="0" applyNumberFormat="1" applyFont="1" applyFill="1" applyBorder="1" applyAlignment="1">
      <x:alignment vertical="center" wrapText="1"/>
    </x:xf>
    <x:xf numFmtId="201" fontId="0" fillId="8" borderId="2" xfId="0" applyNumberFormat="1" applyFont="1" applyFill="1" applyBorder="1" applyAlignment="1">
      <x:alignment vertical="center" wrapText="1"/>
    </x:xf>
    <x:xf numFmtId="202" fontId="0" fillId="8" borderId="2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200" fontId="8" fillId="10" borderId="0" xfId="0" applyNumberFormat="1" applyFont="1" applyFill="1" applyBorder="1" applyAlignment="1">
      <x:alignment vertical="center" wrapText="1"/>
    </x:xf>
    <x:xf numFmtId="200" fontId="0" fillId="8" borderId="3" xfId="0" applyNumberFormat="1" applyFont="1" applyFill="1" applyBorder="1" applyAlignment="1">
      <x:alignment vertical="center" wrapText="1"/>
    </x:xf>
    <x:xf numFmtId="200" fontId="5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0e9e2285b744af" /><Relationship Type="http://schemas.openxmlformats.org/officeDocument/2006/relationships/theme" Target="/xl/theme/theme1.xml" Id="R3c11381b51f74804" /><Relationship Type="http://schemas.openxmlformats.org/officeDocument/2006/relationships/sharedStrings" Target="/xl/sharedStrings.xml" Id="R9f63e327ed234b27" /><Relationship Type="http://schemas.openxmlformats.org/officeDocument/2006/relationships/worksheet" Target="/xl/worksheets/sheet1.xml" Id="Rc7fabdbdb3c74112" /><Relationship Type="http://schemas.openxmlformats.org/officeDocument/2006/relationships/worksheet" Target="/xl/worksheets/sheet2.xml" Id="R8b0f80c7465a48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5" hidden="0" customWidth="1"/>
    <x:col min="3" max="3" width="3" hidden="0" customWidth="1"/>
    <x:col min="4" max="4" width="28" hidden="0" customWidth="1"/>
    <x:col min="5" max="5" width="18" hidden="0" customWidth="1"/>
    <x:col min="6" max="6" width="3" hidden="0" customWidth="1"/>
  </x:cols>
  <x:sheetData>
    <x:row r="1" ht="30" customHeight="1">
      <x:c r="A1" s="55" t="str">
        <x:v>主力商品　利益記入シート</x:v>
      </x:c>
      <x:c r="B1" s="55"/>
      <x:c r="C1" s="55"/>
      <x:c r="D1" s="55"/>
      <x:c r="E1" s="55"/>
      <x:c r="F1" s="55"/>
    </x:row>
    <x:row r="2" ht="30" customHeight="1">
      <x:c r="A2" s="55"/>
      <x:c r="B2" s="55"/>
      <x:c r="C2" s="55"/>
      <x:c r="D2" s="55"/>
      <x:c r="E2" s="55"/>
      <x:c r="F2" s="55"/>
    </x:row>
    <x:row r="3" ht="15" hidden="0" customHeight="1">
      <x:c r="A3" s="56" t="str">
        <x:v>黄色のセルだけ入力してください。金額はすべて税込・円で統一します。</x:v>
      </x:c>
      <x:c r="B3" s="56" t="str"/>
      <x:c r="C3" s="56" t="str"/>
      <x:c r="D3" s="56" t="str"/>
      <x:c r="E3" s="56" t="str"/>
      <x:c r="F3" s="56" t="str"/>
    </x:row>
    <x:row r="4" ht="15" hidden="0" customHeight="1">
      <x:c r="A4" s="57"/>
      <x:c r="B4" s="57"/>
      <x:c r="C4" s="57"/>
      <x:c r="D4" s="57"/>
      <x:c r="E4" s="57"/>
      <x:c r="F4" s="57"/>
    </x:row>
    <x:row r="5" ht="15" hidden="0" customHeight="1">
      <x:c r="A5" s="58" t="str">
        <x:v>1個あたりに残る金額</x:v>
      </x:c>
      <x:c r="B5" s="58" t="str"/>
      <x:c r="C5" s="58"/>
      <x:c r="D5" s="58" t="str">
        <x:v>1注文あたりに残る金額</x:v>
      </x:c>
      <x:c r="E5" s="58" t="str"/>
      <x:c r="F5" s="57"/>
    </x:row>
    <x:row r="6" ht="16.799999237060547" hidden="0" customHeight="1">
      <x:c r="A6" s="59"/>
      <x:c r="B6" s="60" t="n">
        <x:f>E22</x:f>
        <x:v>0</x:v>
      </x:c>
      <x:c r="C6" s="61"/>
      <x:c r="D6" s="60"/>
      <x:c r="E6" s="60" t="n">
        <x:f>E21</x:f>
        <x:v>0</x:v>
      </x:c>
      <x:c r="F6" s="57"/>
    </x:row>
    <x:row r="7" ht="15" hidden="0" customHeight="1">
      <x:c r="A7" s="57"/>
      <x:c r="B7" s="57"/>
      <x:c r="C7" s="57"/>
      <x:c r="D7" s="57"/>
      <x:c r="E7" s="57"/>
      <x:c r="F7" s="57"/>
    </x:row>
    <x:row r="8" ht="15" hidden="0" customHeight="1">
      <x:c r="A8" s="62" t="str">
        <x:v>入力状況</x:v>
      </x:c>
      <x:c r="B8" s="62" t="str"/>
      <x:c r="C8" s="57"/>
      <x:c r="D8" s="57"/>
      <x:c r="E8" s="57"/>
      <x:c r="F8" s="57"/>
    </x:row>
    <x:row r="9" ht="15" hidden="0" customHeight="1">
      <x:c r="A9" s="57"/>
      <x:c r="B9" s="63" t="str">
        <x:f>IF(COUNT(B13,B15,B16,B18,B19,B20)=6,"入力完了","未入力あり")</x:f>
        <x:v>未入力あり</x:v>
      </x:c>
      <x:c r="C9" s="57"/>
      <x:c r="D9" s="57"/>
      <x:c r="E9" s="57"/>
      <x:c r="F9" s="57"/>
    </x:row>
    <x:row r="10" ht="15" hidden="0" customHeight="1">
      <x:c r="A10" s="57"/>
      <x:c r="B10" s="57"/>
      <x:c r="C10" s="57"/>
      <x:c r="D10" s="57"/>
      <x:c r="E10" s="57"/>
      <x:c r="F10" s="57"/>
    </x:row>
    <x:row r="11" ht="15" hidden="0" customHeight="1">
      <x:c r="A11" s="64" t="str">
        <x:v>マスターが入力する項目</x:v>
      </x:c>
      <x:c r="B11" s="64" t="str">
        <x:v>入力値</x:v>
      </x:c>
      <x:c r="C11" s="57"/>
      <x:c r="D11" s="65" t="str">
        <x:v>自動計算</x:v>
      </x:c>
      <x:c r="E11" s="65" t="str">
        <x:v>計算結果</x:v>
      </x:c>
      <x:c r="F11" s="57"/>
    </x:row>
    <x:row r="12" ht="26.399999618530273" hidden="0" customHeight="1">
      <x:c r="A12" s="57" t="str">
        <x:v>商品名</x:v>
      </x:c>
      <x:c r="B12" s="66" t="str">
        <x:v>日本製・綿100%・接触冷感 ハイネックノースリーブインナー</x:v>
      </x:c>
      <x:c r="C12" s="57"/>
      <x:c r="D12" s="57" t="str">
        <x:v>1注文の売上</x:v>
      </x:c>
      <x:c r="E12" s="61" t="str">
        <x:f>IF(AND(B13&lt;&gt;"",B14&gt;0),B13*B14,"")</x:f>
      </x:c>
      <x:c r="F12" s="57"/>
    </x:row>
    <x:row r="13" ht="15" hidden="0" customHeight="1">
      <x:c r="A13" s="57" t="str">
        <x:v>販売価格（1個・税込）</x:v>
      </x:c>
      <x:c r="B13" s="67"/>
      <x:c r="C13" s="57"/>
      <x:c r="D13" s="57" t="str">
        <x:v>仕入れ合計</x:v>
      </x:c>
      <x:c r="E13" s="61" t="str">
        <x:f>IF(AND(B15&lt;&gt;"",B14&gt;0),B15*B14,"")</x:f>
      </x:c>
      <x:c r="F13" s="57"/>
    </x:row>
    <x:row r="14" ht="15" hidden="0" customHeight="1">
      <x:c r="A14" s="57" t="str">
        <x:v>1注文の平均販売個数</x:v>
      </x:c>
      <x:c r="B14" s="68" t="n">
        <x:v>1</x:v>
      </x:c>
      <x:c r="C14" s="57"/>
      <x:c r="D14" s="57" t="str">
        <x:v>楽天手数料</x:v>
      </x:c>
      <x:c r="E14" s="61" t="str">
        <x:f>IF(AND(E12&lt;&gt;"",B16&lt;&gt;""),E12*B16+B17,"")</x:f>
      </x:c>
      <x:c r="F14" s="57"/>
    </x:row>
    <x:row r="15" ht="15" hidden="0" customHeight="1">
      <x:c r="A15" s="57" t="str">
        <x:v>仕入れ値（1個・税込）</x:v>
      </x:c>
      <x:c r="B15" s="67"/>
      <x:c r="C15" s="57"/>
      <x:c r="D15" s="57" t="str">
        <x:v>送料</x:v>
      </x:c>
      <x:c r="E15" s="61" t="str">
        <x:f>IF(B18&lt;&gt;"",B18,"")</x:f>
      </x:c>
      <x:c r="F15" s="57"/>
    </x:row>
    <x:row r="16" ht="15" hidden="0" customHeight="1">
      <x:c r="A16" s="57" t="str">
        <x:v>楽天手数料率（合計）</x:v>
      </x:c>
      <x:c r="B16" s="69"/>
      <x:c r="C16" s="57"/>
      <x:c r="D16" s="57" t="str">
        <x:v>梱包費</x:v>
      </x:c>
      <x:c r="E16" s="61" t="str">
        <x:f>IF(B19&lt;&gt;"",B19,"")</x:f>
      </x:c>
      <x:c r="F16" s="57"/>
    </x:row>
    <x:row r="17" ht="15" hidden="0" customHeight="1">
      <x:c r="A17" s="57" t="str">
        <x:v>楽天の固定費（1注文あたり）</x:v>
      </x:c>
      <x:c r="B17" s="67" t="n">
        <x:v>0</x:v>
      </x:c>
      <x:c r="C17" s="57"/>
      <x:c r="D17" s="57" t="str">
        <x:v>広告費</x:v>
      </x:c>
      <x:c r="E17" s="61" t="str">
        <x:f>IF(AND(B20&lt;&gt;"",B14&gt;0),B20*B14,"")</x:f>
      </x:c>
      <x:c r="F17" s="57"/>
    </x:row>
    <x:row r="18" ht="15" hidden="0" customHeight="1">
      <x:c r="A18" s="57" t="str">
        <x:v>実際の送料（1注文あたり）</x:v>
      </x:c>
      <x:c r="B18" s="67"/>
      <x:c r="C18" s="57"/>
      <x:c r="D18" s="70" t="str">
        <x:v>費用合計</x:v>
      </x:c>
      <x:c r="E18" s="71" t="str">
        <x:f>IF(COUNT(E13:E17)=5,SUM(E13:E17),"")</x:f>
      </x:c>
      <x:c r="F18" s="57"/>
    </x:row>
    <x:row r="19" ht="15" hidden="0" customHeight="1">
      <x:c r="A19" s="57" t="str">
        <x:v>梱包費（1注文あたり）</x:v>
      </x:c>
      <x:c r="B19" s="67"/>
      <x:c r="C19" s="57"/>
      <x:c r="D19" s="57" t="str">
        <x:v>売上との差額</x:v>
      </x:c>
      <x:c r="E19" s="61" t="str">
        <x:f>IF(AND(E12&lt;&gt;"",E18&lt;&gt;""),E12-E18,"")</x:f>
      </x:c>
      <x:c r="F19" s="57"/>
    </x:row>
    <x:row r="20" ht="15" hidden="0" customHeight="1">
      <x:c r="A20" s="57" t="str">
        <x:v>広告費（1個あたり）</x:v>
      </x:c>
      <x:c r="B20" s="72"/>
      <x:c r="C20" s="57"/>
      <x:c r="D20" s="57" t="str">
        <x:v>確認</x:v>
      </x:c>
      <x:c r="E20" s="57" t="str">
        <x:f>IF(E19&lt;&gt;"","計算済み","入力待ち")</x:f>
        <x:v>入力待ち</x:v>
      </x:c>
      <x:c r="F20" s="57"/>
    </x:row>
    <x:row r="21" ht="15" hidden="0" customHeight="1">
      <x:c r="A21" s="57"/>
      <x:c r="B21" s="57"/>
      <x:c r="C21" s="57"/>
      <x:c r="D21" s="62" t="str">
        <x:v>1注文あたりに残る金額</x:v>
      </x:c>
      <x:c r="E21" s="73" t="str">
        <x:f>IF(E19&lt;&gt;"",E19,"")</x:f>
      </x:c>
      <x:c r="F21" s="57"/>
    </x:row>
    <x:row r="22" ht="15" hidden="0" customHeight="1">
      <x:c r="A22" s="57"/>
      <x:c r="B22" s="57"/>
      <x:c r="C22" s="57"/>
      <x:c r="D22" s="62" t="str">
        <x:v>1個あたりに残る金額</x:v>
      </x:c>
      <x:c r="E22" s="73" t="str">
        <x:f>IF(AND(E21&lt;&gt;"",B14&gt;0),E21/B14,"")</x:f>
      </x:c>
      <x:c r="F22" s="57"/>
    </x:row>
    <x:row r="23" ht="15" hidden="0" customHeight="1">
      <x:c r="A23" s="57"/>
      <x:c r="B23" s="57"/>
      <x:c r="C23" s="57"/>
      <x:c r="D23" s="57"/>
      <x:c r="E23" s="57"/>
      <x:c r="F23" s="57"/>
    </x:row>
    <x:row r="24" ht="38" hidden="0" customHeight="1">
      <x:c r="A24" s="54" t="str">
        <x:v>注意: これは販売判断用の簡易計算です。税務申告や会計処理の金額とは分けて扱ってください。</x:v>
      </x:c>
      <x:c r="B24" s="54"/>
      <x:c r="C24" s="54"/>
      <x:c r="D24" s="54"/>
      <x:c r="E24" s="54"/>
      <x:c r="F24" s="54"/>
    </x:row>
  </x:sheetData>
  <x:mergeCells>
    <x:mergeCell ref="A1:F2"/>
    <x:mergeCell ref="A3:F3"/>
    <x:mergeCell ref="A24:F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35" hidden="0" customWidth="1"/>
    <x:col min="4" max="4" width="34" hidden="0" customWidth="1"/>
  </x:cols>
  <x:sheetData>
    <x:row r="1" ht="30" customHeight="1">
      <x:c r="A1" s="55" t="str">
        <x:v>入力する数字の調べ方</x:v>
      </x:c>
      <x:c r="B1" s="55"/>
      <x:c r="C1" s="55"/>
      <x:c r="D1" s="55"/>
    </x:row>
    <x:row r="2" ht="30" customHeight="1">
      <x:c r="A2" s="55"/>
      <x:c r="B2" s="55"/>
      <x:c r="C2" s="55"/>
      <x:c r="D2" s="55"/>
    </x:row>
    <x:row r="3" ht="15" hidden="0" customHeight="1">
      <x:c r="A3" s="74"/>
      <x:c r="B3" s="74"/>
      <x:c r="C3" s="74"/>
      <x:c r="D3" s="74"/>
    </x:row>
    <x:row r="4" ht="15" hidden="0" customHeight="1">
      <x:c r="A4" s="75" t="str">
        <x:v>入力項目</x:v>
      </x:c>
      <x:c r="B4" s="75" t="str">
        <x:v>調べる場所</x:v>
      </x:c>
      <x:c r="C4" s="75" t="str">
        <x:v>入力方法</x:v>
      </x:c>
      <x:c r="D4" s="75" t="str">
        <x:v>注意</x:v>
      </x:c>
    </x:row>
    <x:row r="5" ht="26.399999618530273" hidden="0" customHeight="1">
      <x:c r="A5" s="74" t="str">
        <x:v>販売価格</x:v>
      </x:c>
      <x:c r="B5" s="74" t="str">
        <x:v>楽天の商品ページまたはRMSの商品情報</x:v>
      </x:c>
      <x:c r="C5" s="74" t="str">
        <x:v>通常販売する税込価格を入力</x:v>
      </x:c>
      <x:c r="D5" s="74" t="str">
        <x:v>値下げ色がある場合は、まず代表的な通常価格で1回計算</x:v>
      </x:c>
    </x:row>
    <x:row r="6" ht="15" hidden="0" customHeight="1">
      <x:c r="A6" s="74" t="str">
        <x:v>平均販売個数</x:v>
      </x:c>
      <x:c r="B6" s="74" t="str">
        <x:v>CMO/販売状況.md</x:v>
      </x:c>
      <x:c r="C6" s="74" t="str">
        <x:v>販売個数 ÷ 注文件数</x:v>
      </x:c>
      <x:c r="D6" s="74" t="str">
        <x:v>商品単体の数字がなければ最初は1個で計算</x:v>
      </x:c>
    </x:row>
    <x:row r="7" ht="15" hidden="0" customHeight="1">
      <x:c r="A7" s="74" t="str">
        <x:v>仕入れ値</x:v>
      </x:c>
      <x:c r="B7" s="74" t="str">
        <x:v>仕入先の納品書・請求書</x:v>
      </x:c>
      <x:c r="C7" s="74" t="str">
        <x:v>商品1個分の税込仕入れ額</x:v>
      </x:c>
      <x:c r="D7" s="74" t="str">
        <x:v>送料込み仕入れなら、その扱いをメモする</x:v>
      </x:c>
    </x:row>
    <x:row r="8" ht="26.399999618530273" hidden="0" customHeight="1">
      <x:c r="A8" s="74" t="str">
        <x:v>楽天手数料率</x:v>
      </x:c>
      <x:c r="B8" s="74" t="str">
        <x:v>RMSのWeb請求書・利用明細</x:v>
      </x:c>
      <x:c r="C8" s="74" t="str">
        <x:v>対象月の楽天関連手数料合計 ÷ 同じ月の基準売上</x:v>
      </x:c>
      <x:c r="D8" s="74" t="str">
        <x:v>システム利用料、決済、ポイント、アフィリエイト等を含める範囲は毎月統一</x:v>
      </x:c>
    </x:row>
    <x:row r="9" ht="26.399999618530273" hidden="0" customHeight="1">
      <x:c r="A9" s="74" t="str">
        <x:v>楽天の固定費</x:v>
      </x:c>
      <x:c r="B9" s="74" t="str">
        <x:v>RMSのWeb請求書・利用明細</x:v>
      </x:c>
      <x:c r="C9" s="74" t="str">
        <x:v>注文ごとに固定で発生する額。なければ0</x:v>
      </x:c>
      <x:c r="D9" s="74" t="str">
        <x:v>月額固定費を入れる場合は月間注文数で割る</x:v>
      </x:c>
    </x:row>
    <x:row r="10" ht="26.399999618530273" hidden="0" customHeight="1">
      <x:c r="A10" s="74" t="str">
        <x:v>実際の送料</x:v>
      </x:c>
      <x:c r="B10" s="74" t="str">
        <x:v>クリックポスト等の配送明細</x:v>
      </x:c>
      <x:c r="C10" s="74" t="str">
        <x:v>1注文を送る実費</x:v>
      </x:c>
      <x:c r="D10" s="74" t="str">
        <x:v>購入者から受け取る送料ではなく、LIENが支払う送料</x:v>
      </x:c>
    </x:row>
    <x:row r="11" ht="15" hidden="0" customHeight="1">
      <x:c r="A11" s="74" t="str">
        <x:v>梱包費</x:v>
      </x:c>
      <x:c r="B11" s="74" t="str">
        <x:v>封筒・箱・テープ等の購入明細</x:v>
      </x:c>
      <x:c r="C11" s="74" t="str">
        <x:v>1注文分の資材費合計</x:v>
      </x:c>
      <x:c r="D11" s="74" t="str">
        <x:v>人件費は今回含めない</x:v>
      </x:c>
    </x:row>
    <x:row r="12" ht="15" hidden="0" customHeight="1">
      <x:c r="A12" s="74" t="str">
        <x:v>広告費</x:v>
      </x:c>
      <x:c r="B12" s="74" t="str">
        <x:v>RPP等の広告レポート</x:v>
      </x:c>
      <x:c r="C12" s="74" t="str">
        <x:v>対象商品の広告費 ÷ 広告経由の販売個数</x:v>
      </x:c>
      <x:c r="D12" s="74" t="str">
        <x:v>広告を使っていない場合は0</x:v>
      </x:c>
    </x:row>
    <x:row r="13" ht="15" hidden="0" customHeight="1">
      <x:c r="A13" s="74"/>
      <x:c r="B13" s="74"/>
      <x:c r="C13" s="74"/>
      <x:c r="D13" s="74"/>
    </x:row>
    <x:row r="14" ht="15" hidden="0" customHeight="1">
      <x:c r="A14" s="76" t="str">
        <x:v>統一ルール</x:v>
      </x:c>
      <x:c r="B14" s="76" t="str">
        <x:v>内容</x:v>
      </x:c>
      <x:c r="C14" s="76" t="str"/>
      <x:c r="D14" s="76" t="str"/>
    </x:row>
    <x:row r="15" ht="15" hidden="0" customHeight="1">
      <x:c r="A15" s="74" t="str">
        <x:v>金額</x:v>
      </x:c>
      <x:c r="B15" s="74" t="str">
        <x:v>すべて税込・円で入力</x:v>
      </x:c>
      <x:c r="C15" s="74" t="str"/>
      <x:c r="D15" s="74" t="str"/>
    </x:row>
    <x:row r="16" ht="15" hidden="0" customHeight="1">
      <x:c r="A16" s="74" t="str">
        <x:v>期間</x:v>
      </x:c>
      <x:c r="B16" s="74" t="str">
        <x:v>楽天手数料と広告費を計算するときは、売上と同じ期間を使う</x:v>
      </x:c>
      <x:c r="C16" s="74" t="str"/>
      <x:c r="D16" s="74" t="str"/>
    </x:row>
    <x:row r="17" ht="15" hidden="0" customHeight="1">
      <x:c r="A17" s="74" t="str">
        <x:v>未確認</x:v>
      </x:c>
      <x:c r="B17" s="74" t="str">
        <x:v>分からない数字は空欄のままにし、推測値を入れない</x:v>
      </x:c>
      <x:c r="C17" s="74" t="str"/>
      <x:c r="D17" s="74" t="str"/>
    </x:row>
    <x:row r="18" ht="15" hidden="0" customHeight="1">
      <x:c r="A18" s="74" t="str">
        <x:v>更新</x:v>
      </x:c>
      <x:c r="B18" s="74" t="str">
        <x:v>料金や契約が変わったら、古い計算をそのまま使わない</x:v>
      </x:c>
      <x:c r="C18" s="74" t="str"/>
      <x:c r="D18" s="74" t="str"/>
    </x:row>
    <x:row r="19" ht="15" hidden="0" customHeight="1">
      <x:c r="A19" s="74"/>
      <x:c r="B19" s="74"/>
      <x:c r="C19" s="74"/>
      <x:c r="D19" s="74"/>
    </x:row>
    <x:row r="20" ht="15" hidden="0" customHeight="1">
      <x:c r="A20" s="74" t="str">
        <x:v>参考URL</x:v>
      </x:c>
      <x:c r="B20" s="74" t="str">
        <x:v>https://www.rakuten.co.jp/ec/open/attention/pdf/disclosure/01_kiyaku_guideline.pdf</x:v>
      </x:c>
      <x:c r="C20" s="74" t="str"/>
      <x:c r="D20" s="74" t="str"/>
    </x:row>
  </x:sheetData>
  <x:mergeCells>
    <x:mergeCell ref="A1:D2"/>
    <x:mergeCell ref="B14:D14"/>
    <x:mergeCell ref="B15:D15"/>
    <x:mergeCell ref="B16:D16"/>
    <x:mergeCell ref="B17:D17"/>
    <x:mergeCell ref="B18:D18"/>
    <x:mergeCell ref="B20:D20"/>
  </x:mergeCells>
  <x:pageMargins left="0.7" right="0.7" top="0.75" bottom="0.75" header="0.3" footer="0.3"/>
</x:worksheet>
</file>